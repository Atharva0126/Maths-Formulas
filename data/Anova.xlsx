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BSE\Sessions\Maths\"/>
    </mc:Choice>
  </mc:AlternateContent>
  <xr:revisionPtr revIDLastSave="0" documentId="8_{0B1551F7-B7D8-4425-B18C-2AFC74D9193B}" xr6:coauthVersionLast="47" xr6:coauthVersionMax="47" xr10:uidLastSave="{00000000-0000-0000-0000-000000000000}"/>
  <bookViews>
    <workbookView xWindow="-120" yWindow="-120" windowWidth="29040" windowHeight="16440" activeTab="2" xr2:uid="{00000000-000D-0000-FFFF-FFFF00000000}"/>
  </bookViews>
  <sheets>
    <sheet name="ANOVA Example" sheetId="1" r:id="rId1"/>
    <sheet name="Sheet3 Practice" sheetId="2" r:id="rId2"/>
    <sheet name="Example to Slove" sheetId="6" r:id="rId3"/>
    <sheet name="Short Cut Tool" sheetId="5" r:id="rId4"/>
    <sheet name="Finalcial Domain Example Exampl"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6" l="1"/>
  <c r="D21" i="6"/>
  <c r="C22" i="6"/>
  <c r="C21" i="6"/>
  <c r="D17" i="6"/>
  <c r="C16" i="6"/>
  <c r="T17" i="6"/>
  <c r="T16" i="6"/>
  <c r="T13" i="6"/>
  <c r="T15" i="6"/>
  <c r="T14" i="6"/>
  <c r="T18" i="6"/>
  <c r="S17" i="6"/>
  <c r="S16" i="6"/>
  <c r="S15" i="6"/>
  <c r="S14" i="6"/>
  <c r="S13" i="6"/>
  <c r="P17" i="6"/>
  <c r="P16" i="6"/>
  <c r="P15" i="6"/>
  <c r="P14" i="6"/>
  <c r="P13" i="6"/>
  <c r="O17" i="6"/>
  <c r="O16" i="6"/>
  <c r="O15" i="6"/>
  <c r="O14" i="6"/>
  <c r="O13" i="6"/>
  <c r="P18" i="6"/>
  <c r="T9" i="6"/>
  <c r="T8" i="6"/>
  <c r="T7" i="6"/>
  <c r="T6" i="6"/>
  <c r="T5" i="6"/>
  <c r="T4" i="6"/>
  <c r="S8" i="6"/>
  <c r="S7" i="6"/>
  <c r="S6" i="6"/>
  <c r="S5" i="6"/>
  <c r="S4" i="6"/>
  <c r="P9" i="6"/>
  <c r="P8" i="6"/>
  <c r="P7" i="6"/>
  <c r="P6" i="6"/>
  <c r="P5" i="6"/>
  <c r="P4" i="6"/>
  <c r="O4" i="6"/>
  <c r="O8" i="6"/>
  <c r="O7" i="6"/>
  <c r="O6" i="6"/>
  <c r="O5" i="6"/>
  <c r="C15" i="6"/>
  <c r="H12" i="6"/>
  <c r="H11" i="6"/>
  <c r="E12" i="6"/>
  <c r="E11" i="6"/>
  <c r="D12" i="6"/>
  <c r="D11" i="6"/>
  <c r="C12" i="6"/>
  <c r="C11" i="6"/>
  <c r="B12" i="6"/>
  <c r="B11" i="6"/>
  <c r="A14" i="3"/>
  <c r="A17" i="3"/>
  <c r="C10" i="1"/>
  <c r="G10" i="1"/>
  <c r="E10" i="1"/>
  <c r="D10" i="1"/>
  <c r="B10" i="1"/>
</calcChain>
</file>

<file path=xl/sharedStrings.xml><?xml version="1.0" encoding="utf-8"?>
<sst xmlns="http://schemas.openxmlformats.org/spreadsheetml/2006/main" count="144" uniqueCount="120">
  <si>
    <t>Low Calorie</t>
  </si>
  <si>
    <t>Low Fat</t>
  </si>
  <si>
    <t>Low Carbohydrate</t>
  </si>
  <si>
    <t>Control</t>
  </si>
  <si>
    <t>Mean</t>
  </si>
  <si>
    <t>Group Avg</t>
  </si>
  <si>
    <t>n</t>
  </si>
  <si>
    <t>SSB</t>
  </si>
  <si>
    <t>SSE</t>
  </si>
  <si>
    <r>
      <t>(X -</t>
    </r>
    <r>
      <rPr>
        <b/>
        <sz val="9.9"/>
        <color rgb="FF000000"/>
        <rFont val="Arial"/>
        <family val="2"/>
      </rPr>
      <t> 6.6</t>
    </r>
    <r>
      <rPr>
        <b/>
        <sz val="9.9"/>
        <color rgb="FFC00000"/>
        <rFont val="Arial"/>
        <family val="2"/>
      </rPr>
      <t>)</t>
    </r>
  </si>
  <si>
    <r>
      <t>(X - 6.6)</t>
    </r>
    <r>
      <rPr>
        <b/>
        <vertAlign val="superscript"/>
        <sz val="9.9"/>
        <color rgb="FFC00000"/>
        <rFont val="Arial"/>
        <family val="2"/>
      </rPr>
      <t>2</t>
    </r>
  </si>
  <si>
    <t>Totals</t>
  </si>
  <si>
    <r>
      <t>(X -</t>
    </r>
    <r>
      <rPr>
        <b/>
        <sz val="9.9"/>
        <color rgb="FF000000"/>
        <rFont val="Arial"/>
        <family val="2"/>
      </rPr>
      <t> 3.0</t>
    </r>
    <r>
      <rPr>
        <b/>
        <sz val="9.9"/>
        <color rgb="FFC00000"/>
        <rFont val="Arial"/>
        <family val="2"/>
      </rPr>
      <t>)</t>
    </r>
  </si>
  <si>
    <r>
      <t>(X - 3.0)</t>
    </r>
    <r>
      <rPr>
        <b/>
        <vertAlign val="superscript"/>
        <sz val="9.9"/>
        <color rgb="FFC00000"/>
        <rFont val="Arial"/>
        <family val="2"/>
      </rPr>
      <t>2</t>
    </r>
  </si>
  <si>
    <t>(X - 3.4)</t>
  </si>
  <si>
    <r>
      <t>(X - 3.4)</t>
    </r>
    <r>
      <rPr>
        <b/>
        <vertAlign val="superscript"/>
        <sz val="9.9"/>
        <color rgb="FFC00000"/>
        <rFont val="Arial"/>
        <family val="2"/>
      </rPr>
      <t>2</t>
    </r>
  </si>
  <si>
    <t>(X - 1.2)</t>
  </si>
  <si>
    <r>
      <t>(X - 1.2)</t>
    </r>
    <r>
      <rPr>
        <b/>
        <vertAlign val="superscript"/>
        <sz val="9.9"/>
        <color rgb="FFC00000"/>
        <rFont val="Arial"/>
        <family val="2"/>
      </rPr>
      <t>2</t>
    </r>
  </si>
  <si>
    <t>Sums of Squares</t>
  </si>
  <si>
    <t>(SS)</t>
  </si>
  <si>
    <t>Degrees of Freedom</t>
  </si>
  <si>
    <t>(df)</t>
  </si>
  <si>
    <t>Means Squares</t>
  </si>
  <si>
    <t>(MS)</t>
  </si>
  <si>
    <t>F</t>
  </si>
  <si>
    <t>Between Treatmenst</t>
  </si>
  <si>
    <t>4-1=3</t>
  </si>
  <si>
    <t>75.8/3=25.3</t>
  </si>
  <si>
    <t>25.3/3.0=8.43</t>
  </si>
  <si>
    <t>Error (or Residual)</t>
  </si>
  <si>
    <t>20-4=16</t>
  </si>
  <si>
    <t>47.4/16=3.0</t>
  </si>
  <si>
    <t>Total</t>
  </si>
  <si>
    <t>Source of Variation</t>
  </si>
  <si>
    <t>Link for theory</t>
  </si>
  <si>
    <t>https://sphweb.bumc.bu.edu/otlt/mph-modules/bs/bs704_hypothesistesting-anova/bs704_hypothesistesting-anova_print.html</t>
  </si>
  <si>
    <t>Calculate Value is More than table value, we reject null Hypothesis</t>
  </si>
  <si>
    <t>Null</t>
  </si>
  <si>
    <t>All Means are Equal</t>
  </si>
  <si>
    <t>Alternate</t>
  </si>
  <si>
    <t>All Means are not Equal</t>
  </si>
  <si>
    <t>Protin</t>
  </si>
  <si>
    <t>Carbohydrate</t>
  </si>
  <si>
    <t>Fat</t>
  </si>
  <si>
    <t>Calorie</t>
  </si>
  <si>
    <t xml:space="preserve"> Carbohydrate</t>
  </si>
  <si>
    <t xml:space="preserve">From Table </t>
  </si>
  <si>
    <t>8.43 &gt; 3.29</t>
  </si>
  <si>
    <t>Certainly! Let's go through the detailed calculations for the ANOVA test step by step using the given data.</t>
  </si>
  <si>
    <t>**Given Data:**</t>
  </si>
  <si>
    <t>- Manager A's Portfolio Returns: 10%, 12%, 8%, 11%, 9%</t>
  </si>
  <si>
    <t>- Manager B's Portfolio Returns: 14%, 13%, 11%, 15%, 12%</t>
  </si>
  <si>
    <t>- Manager C's Portfolio Returns: 9%, 7%, 8%, 11%, 10%</t>
  </si>
  <si>
    <t>**Step 1: Calculate Means**</t>
  </si>
  <si>
    <t>- Mean return of Manager A's Portfolio: \((10 + 12 + 8 + 11 + 9) / 5 = 10%\)</t>
  </si>
  <si>
    <t>- Mean return of Manager B's Portfolio: \((14 + 13 + 11 + 15 + 12) / 5 = 13%\)</t>
  </si>
  <si>
    <t>- Mean return of Manager C's Portfolio: \((9 + 7 + 8 + 11 + 10) / 5 = 9%\)</t>
  </si>
  <si>
    <t>**Step 2: Calculate Sum of Squares (SSW and SSB)**</t>
  </si>
  <si>
    <t xml:space="preserve">  - \(SSW = (10-10)^2 + (12-10)^2 + (8-10)^2 + (11-10)^2 + (9-10)^2 + (14-13)^2 + (13-13)^2 + (11-13)^2 + (15-13)^2 + (12-13)^2 + (9-9)^2 + (7-9)^2 + (8-9)^2 + (11-9)^2 + (10-9)^2 = 14\)</t>
  </si>
  <si>
    <t xml:space="preserve">  </t>
  </si>
  <si>
    <t xml:space="preserve">  - \(SSB = 5 * [(10-10)^2 + (13-10)^2 + (9-10)^2] = 3\)</t>
  </si>
  <si>
    <t>**Step 3: Calculate Degrees of Freedom (df)**</t>
  </si>
  <si>
    <t>- \(df_{between} = k - 1 = 3 - 1 = 2\)</t>
  </si>
  <si>
    <t>- \(df_{within} = N - k = 15 - 3 = 12\)</t>
  </si>
  <si>
    <t>**Step 4: Calculate Mean Squares (MSB and MSW)**</t>
  </si>
  <si>
    <t>- Mean Square Between (MSB): \(MSB = SSB / df_{between} = 3 / 2 = 1.5\)</t>
  </si>
  <si>
    <t>- Mean Square Within (MSW): \(MSW = SSW / df_{within} = 14 / 12 = 1.167\)</t>
  </si>
  <si>
    <t>**Step 5: Calculate F-Statistic**</t>
  </si>
  <si>
    <t>- \(F = MSB / MSW = 1.5 / 1.167 ≈ 1.284\)</t>
  </si>
  <si>
    <t>**Step 6: Compare F-Statistic**</t>
  </si>
  <si>
    <t>- At a significance level of 0.05, with \(df_{between} = 2\) and \(df_{within} = 12\), the critical F-value from the F-distribution table is approximately 3.89.</t>
  </si>
  <si>
    <t>Since the calculated F-statistic (1.284) is smaller than the critical F-value (3.89), we fail to reject the null hypothesis. This means there is not enough evidence to conclude that there are significant differences in the average returns of the portfolios managed by the three fund managers.</t>
  </si>
  <si>
    <t>Please note that these calculations are illustrative and should be performed using statistical software or tools to obtain precise results.</t>
  </si>
  <si>
    <t>Anova: Single Factor</t>
  </si>
  <si>
    <t>SUMMARY</t>
  </si>
  <si>
    <t>Groups</t>
  </si>
  <si>
    <t>Count</t>
  </si>
  <si>
    <t>Sum</t>
  </si>
  <si>
    <t>Average</t>
  </si>
  <si>
    <t>Variance</t>
  </si>
  <si>
    <t>Column 1</t>
  </si>
  <si>
    <t>Column 2</t>
  </si>
  <si>
    <t>Column 3</t>
  </si>
  <si>
    <t>Column 4</t>
  </si>
  <si>
    <t>ANOVA</t>
  </si>
  <si>
    <t>SS</t>
  </si>
  <si>
    <t>df</t>
  </si>
  <si>
    <t>MS</t>
  </si>
  <si>
    <t>P-value</t>
  </si>
  <si>
    <t>F crit</t>
  </si>
  <si>
    <t>Between Groups</t>
  </si>
  <si>
    <t>Within Groups</t>
  </si>
  <si>
    <t>Student</t>
  </si>
  <si>
    <t>Method A</t>
  </si>
  <si>
    <t>Method B</t>
  </si>
  <si>
    <t>Method C</t>
  </si>
  <si>
    <t>Method D</t>
  </si>
  <si>
    <t>Suppose a researcher wants to compare the effectiveness of four different teaching methods (A, B, C, D) on students' performance in a mathematics test. The test scores (out of 100) for five different students under each teaching method are recorded as follows:</t>
  </si>
  <si>
    <t>x1</t>
  </si>
  <si>
    <t>x2</t>
  </si>
  <si>
    <t>x3</t>
  </si>
  <si>
    <t>x4</t>
  </si>
  <si>
    <t>mean</t>
  </si>
  <si>
    <t>Group avg</t>
  </si>
  <si>
    <t>N</t>
  </si>
  <si>
    <t>roundoff</t>
  </si>
  <si>
    <t>SSB=&gt;</t>
  </si>
  <si>
    <t>(x - mean of x1)</t>
  </si>
  <si>
    <t>(x - mean of x1)^2</t>
  </si>
  <si>
    <t>=</t>
  </si>
  <si>
    <t>(x - mean of x2)</t>
  </si>
  <si>
    <t>(x - mean of x2)^2</t>
  </si>
  <si>
    <t>(x - mean of x3)</t>
  </si>
  <si>
    <t>(x - mean of x3)^2</t>
  </si>
  <si>
    <t>SSE=&gt;</t>
  </si>
  <si>
    <t>df=&gt;</t>
  </si>
  <si>
    <t>k is (No. of columns)=&gt;</t>
  </si>
  <si>
    <t>Formula =&gt;</t>
  </si>
  <si>
    <t>( k -1)=&gt;</t>
  </si>
  <si>
    <t>Final Ans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</si>
</sst>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9.9"/>
      <color rgb="FF000000"/>
      <name val="Arial"/>
      <family val="2"/>
    </font>
    <font>
      <sz val="11"/>
      <color rgb="FF000000"/>
      <name val="Arial"/>
      <family val="2"/>
    </font>
    <font>
      <sz val="9.9"/>
      <color rgb="FF000000"/>
      <name val="Arial"/>
      <family val="2"/>
    </font>
    <font>
      <b/>
      <sz val="9.9"/>
      <color rgb="FFC00000"/>
      <name val="Arial"/>
      <family val="2"/>
    </font>
    <font>
      <b/>
      <vertAlign val="superscript"/>
      <sz val="9.9"/>
      <color rgb="FFC00000"/>
      <name val="Arial"/>
      <family val="2"/>
    </font>
    <font>
      <i/>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b/>
      <sz val="11"/>
      <color theme="0"/>
      <name val="Calibri"/>
      <family val="2"/>
      <scheme val="minor"/>
    </font>
    <font>
      <sz val="11"/>
      <color theme="5"/>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9" applyNumberFormat="0" applyAlignment="0" applyProtection="0"/>
    <xf numFmtId="0" fontId="12" fillId="6" borderId="8" applyNumberFormat="0" applyAlignment="0" applyProtection="0"/>
    <xf numFmtId="0" fontId="13" fillId="7" borderId="10" applyNumberFormat="0" applyAlignment="0" applyProtection="0"/>
    <xf numFmtId="0" fontId="7" fillId="8" borderId="11" applyNumberFormat="0" applyFont="0" applyAlignment="0" applyProtection="0"/>
  </cellStyleXfs>
  <cellXfs count="29">
    <xf numFmtId="0" fontId="0" fillId="0" borderId="0" xfId="0"/>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horizontal="center"/>
    </xf>
    <xf numFmtId="0" fontId="4" fillId="2" borderId="1" xfId="0" applyFont="1" applyFill="1" applyBorder="1" applyAlignment="1">
      <alignment horizontal="center" vertical="center" wrapText="1"/>
    </xf>
    <xf numFmtId="0" fontId="2" fillId="2" borderId="1" xfId="0" applyFont="1" applyFill="1" applyBorder="1" applyAlignment="1">
      <alignment vertical="top" wrapText="1"/>
    </xf>
    <xf numFmtId="0" fontId="1"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Alignment="1">
      <alignment horizontal="left"/>
    </xf>
    <xf numFmtId="0" fontId="0" fillId="0" borderId="5" xfId="0" applyBorder="1"/>
    <xf numFmtId="0" fontId="6" fillId="0" borderId="6" xfId="0" applyFont="1"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8" fillId="3" borderId="7" xfId="1" applyBorder="1" applyAlignment="1">
      <alignment horizontal="center"/>
    </xf>
    <xf numFmtId="0" fontId="8" fillId="3" borderId="7" xfId="1" applyBorder="1" applyAlignment="1">
      <alignment horizontal="center" vertical="center"/>
    </xf>
    <xf numFmtId="0" fontId="10" fillId="5" borderId="7" xfId="3" applyBorder="1" applyAlignment="1">
      <alignment horizontal="center"/>
    </xf>
    <xf numFmtId="0" fontId="10" fillId="5" borderId="7" xfId="3" applyBorder="1" applyAlignment="1">
      <alignment horizontal="center" vertical="center"/>
    </xf>
    <xf numFmtId="0" fontId="9" fillId="4" borderId="7" xfId="2" applyBorder="1" applyAlignment="1">
      <alignment horizontal="center"/>
    </xf>
    <xf numFmtId="0" fontId="9" fillId="4" borderId="7" xfId="2" applyBorder="1" applyAlignment="1">
      <alignment horizontal="center" vertical="center"/>
    </xf>
    <xf numFmtId="0" fontId="12" fillId="8" borderId="7" xfId="7" applyFont="1" applyBorder="1" applyAlignment="1">
      <alignment horizontal="center"/>
    </xf>
    <xf numFmtId="0" fontId="12" fillId="6" borderId="8" xfId="5" applyAlignment="1">
      <alignment horizontal="center" vertical="center"/>
    </xf>
    <xf numFmtId="0" fontId="13" fillId="7" borderId="10" xfId="6" applyAlignment="1">
      <alignment horizontal="center"/>
    </xf>
    <xf numFmtId="0" fontId="14" fillId="8" borderId="11" xfId="7" applyFont="1" applyAlignment="1">
      <alignment horizontal="center"/>
    </xf>
    <xf numFmtId="0" fontId="14" fillId="8" borderId="11" xfId="7" applyFont="1" applyAlignment="1">
      <alignment horizontal="center" vertical="center"/>
    </xf>
    <xf numFmtId="0" fontId="11" fillId="6" borderId="9" xfId="4" applyAlignment="1">
      <alignment horizontal="center" vertical="center"/>
    </xf>
  </cellXfs>
  <cellStyles count="8">
    <cellStyle name="Bad" xfId="2" builtinId="27"/>
    <cellStyle name="Calculation" xfId="5" builtinId="22"/>
    <cellStyle name="Check Cell" xfId="6" builtinId="23"/>
    <cellStyle name="Good" xfId="1" builtinId="26"/>
    <cellStyle name="Neutral" xfId="3" builtinId="28"/>
    <cellStyle name="Normal" xfId="0" builtinId="0"/>
    <cellStyle name="Note" xfId="7" builtinId="1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7" Type="http://schemas.openxmlformats.org/officeDocument/2006/relationships/image" Target="../media/image7.gif"/><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gif"/></Relationships>
</file>

<file path=xl/drawings/_rels/drawing2.xml.rels><?xml version="1.0" encoding="UTF-8" standalone="yes"?>
<Relationships xmlns="http://schemas.openxmlformats.org/package/2006/relationships"><Relationship Id="rId1" Type="http://schemas.openxmlformats.org/officeDocument/2006/relationships/image" Target="../media/image7.gif"/></Relationships>
</file>

<file path=xl/drawings/drawing1.xml><?xml version="1.0" encoding="utf-8"?>
<xdr:wsDr xmlns:xdr="http://schemas.openxmlformats.org/drawingml/2006/spreadsheetDrawing" xmlns:a="http://schemas.openxmlformats.org/drawingml/2006/main">
  <xdr:twoCellAnchor editAs="oneCell">
    <xdr:from>
      <xdr:col>2</xdr:col>
      <xdr:colOff>333782</xdr:colOff>
      <xdr:row>12</xdr:row>
      <xdr:rowOff>85492</xdr:rowOff>
    </xdr:from>
    <xdr:to>
      <xdr:col>3</xdr:col>
      <xdr:colOff>874801</xdr:colOff>
      <xdr:row>14</xdr:row>
      <xdr:rowOff>63376</xdr:rowOff>
    </xdr:to>
    <xdr:pic>
      <xdr:nvPicPr>
        <xdr:cNvPr id="2" name="Picture 1">
          <a:extLst>
            <a:ext uri="{FF2B5EF4-FFF2-40B4-BE49-F238E27FC236}">
              <a16:creationId xmlns:a16="http://schemas.microsoft.com/office/drawing/2014/main" id="{082F081D-014F-2286-37E5-A31776C7D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0970" y="2331805"/>
          <a:ext cx="1545112" cy="3430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133814</xdr:colOff>
      <xdr:row>15</xdr:row>
      <xdr:rowOff>66908</xdr:rowOff>
    </xdr:from>
    <xdr:to>
      <xdr:col>6</xdr:col>
      <xdr:colOff>300525</xdr:colOff>
      <xdr:row>16</xdr:row>
      <xdr:rowOff>173588</xdr:rowOff>
    </xdr:to>
    <xdr:pic>
      <xdr:nvPicPr>
        <xdr:cNvPr id="3" name="Picture 2">
          <a:extLst>
            <a:ext uri="{FF2B5EF4-FFF2-40B4-BE49-F238E27FC236}">
              <a16:creationId xmlns:a16="http://schemas.microsoft.com/office/drawing/2014/main" id="{DD304EEF-AED9-1591-E8A7-509B75BF5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3414" y="2631688"/>
          <a:ext cx="4946867" cy="288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81776</xdr:colOff>
      <xdr:row>17</xdr:row>
      <xdr:rowOff>144965</xdr:rowOff>
    </xdr:from>
    <xdr:to>
      <xdr:col>4</xdr:col>
      <xdr:colOff>729475</xdr:colOff>
      <xdr:row>18</xdr:row>
      <xdr:rowOff>122850</xdr:rowOff>
    </xdr:to>
    <xdr:pic>
      <xdr:nvPicPr>
        <xdr:cNvPr id="4" name="Picture 3">
          <a:extLst>
            <a:ext uri="{FF2B5EF4-FFF2-40B4-BE49-F238E27FC236}">
              <a16:creationId xmlns:a16="http://schemas.microsoft.com/office/drawing/2014/main" id="{13636BC7-EBEC-199B-D021-812781645B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72683" y="3074019"/>
          <a:ext cx="2610314"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854927</xdr:colOff>
      <xdr:row>20</xdr:row>
      <xdr:rowOff>141249</xdr:rowOff>
    </xdr:from>
    <xdr:to>
      <xdr:col>4</xdr:col>
      <xdr:colOff>307959</xdr:colOff>
      <xdr:row>22</xdr:row>
      <xdr:rowOff>119132</xdr:rowOff>
    </xdr:to>
    <xdr:pic>
      <xdr:nvPicPr>
        <xdr:cNvPr id="5" name="Picture 4">
          <a:extLst>
            <a:ext uri="{FF2B5EF4-FFF2-40B4-BE49-F238E27FC236}">
              <a16:creationId xmlns:a16="http://schemas.microsoft.com/office/drawing/2014/main" id="{316B23D7-B7D0-9FF3-0DE2-8A75287267F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45834" y="3616712"/>
          <a:ext cx="1415647" cy="342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xdr:row>
      <xdr:rowOff>184484</xdr:rowOff>
    </xdr:from>
    <xdr:to>
      <xdr:col>2</xdr:col>
      <xdr:colOff>435611</xdr:colOff>
      <xdr:row>44</xdr:row>
      <xdr:rowOff>162368</xdr:rowOff>
    </xdr:to>
    <xdr:pic>
      <xdr:nvPicPr>
        <xdr:cNvPr id="6" name="Picture 5">
          <a:extLst>
            <a:ext uri="{FF2B5EF4-FFF2-40B4-BE49-F238E27FC236}">
              <a16:creationId xmlns:a16="http://schemas.microsoft.com/office/drawing/2014/main" id="{319A8EB4-4BEB-4201-8448-EFB1A76173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8057147"/>
          <a:ext cx="1418190" cy="34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16042</xdr:colOff>
      <xdr:row>42</xdr:row>
      <xdr:rowOff>184484</xdr:rowOff>
    </xdr:from>
    <xdr:to>
      <xdr:col>7</xdr:col>
      <xdr:colOff>214162</xdr:colOff>
      <xdr:row>44</xdr:row>
      <xdr:rowOff>160021</xdr:rowOff>
    </xdr:to>
    <xdr:pic>
      <xdr:nvPicPr>
        <xdr:cNvPr id="7" name="Picture 6">
          <a:extLst>
            <a:ext uri="{FF2B5EF4-FFF2-40B4-BE49-F238E27FC236}">
              <a16:creationId xmlns:a16="http://schemas.microsoft.com/office/drawing/2014/main" id="{12EF22C0-74AF-ADF0-2E4C-AB2472E9DA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90800" y="8057147"/>
          <a:ext cx="3871762" cy="344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445168</xdr:colOff>
      <xdr:row>55</xdr:row>
      <xdr:rowOff>56147</xdr:rowOff>
    </xdr:from>
    <xdr:to>
      <xdr:col>6</xdr:col>
      <xdr:colOff>721493</xdr:colOff>
      <xdr:row>69</xdr:row>
      <xdr:rowOff>124728</xdr:rowOff>
    </xdr:to>
    <xdr:pic>
      <xdr:nvPicPr>
        <xdr:cNvPr id="8" name="Picture 7">
          <a:extLst>
            <a:ext uri="{FF2B5EF4-FFF2-40B4-BE49-F238E27FC236}">
              <a16:creationId xmlns:a16="http://schemas.microsoft.com/office/drawing/2014/main" id="{A05266F2-78EC-A572-F029-21F33588A86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5168" y="10824410"/>
          <a:ext cx="5670483" cy="2651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327268</xdr:colOff>
      <xdr:row>48</xdr:row>
      <xdr:rowOff>163209</xdr:rowOff>
    </xdr:from>
    <xdr:to>
      <xdr:col>10</xdr:col>
      <xdr:colOff>120648</xdr:colOff>
      <xdr:row>52</xdr:row>
      <xdr:rowOff>58126</xdr:rowOff>
    </xdr:to>
    <xdr:pic>
      <xdr:nvPicPr>
        <xdr:cNvPr id="9" name="Picture 8">
          <a:extLst>
            <a:ext uri="{FF2B5EF4-FFF2-40B4-BE49-F238E27FC236}">
              <a16:creationId xmlns:a16="http://schemas.microsoft.com/office/drawing/2014/main" id="{7E992391-8F3B-1486-E08C-3A8D2AB9F36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22460" y="9199747"/>
          <a:ext cx="2753457" cy="94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19</xdr:row>
      <xdr:rowOff>0</xdr:rowOff>
    </xdr:from>
    <xdr:to>
      <xdr:col>11</xdr:col>
      <xdr:colOff>122359</xdr:colOff>
      <xdr:row>23</xdr:row>
      <xdr:rowOff>180667</xdr:rowOff>
    </xdr:to>
    <xdr:pic>
      <xdr:nvPicPr>
        <xdr:cNvPr id="2" name="Picture 1">
          <a:extLst>
            <a:ext uri="{FF2B5EF4-FFF2-40B4-BE49-F238E27FC236}">
              <a16:creationId xmlns:a16="http://schemas.microsoft.com/office/drawing/2014/main" id="{A265E7DE-821F-4DB4-82CD-935F837CE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3752850"/>
          <a:ext cx="2665534" cy="942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
  <sheetViews>
    <sheetView topLeftCell="A37" zoomScale="130" zoomScaleNormal="130" workbookViewId="0">
      <selection activeCell="J53" sqref="J53"/>
    </sheetView>
  </sheetViews>
  <sheetFormatPr defaultRowHeight="15" x14ac:dyDescent="0.25"/>
  <cols>
    <col min="1" max="1" width="8.85546875" style="3"/>
    <col min="2" max="5" width="14.42578125" style="3" customWidth="1"/>
    <col min="6" max="8" width="12.42578125" customWidth="1"/>
  </cols>
  <sheetData>
    <row r="1" spans="1:8" x14ac:dyDescent="0.25">
      <c r="A1" s="9" t="s">
        <v>34</v>
      </c>
      <c r="C1" s="9" t="s">
        <v>35</v>
      </c>
    </row>
    <row r="2" spans="1:8" ht="15.75" thickBot="1" x14ac:dyDescent="0.3"/>
    <row r="3" spans="1:8" ht="15.75" thickBot="1" x14ac:dyDescent="0.3">
      <c r="B3" s="1" t="s">
        <v>44</v>
      </c>
      <c r="C3" s="1" t="s">
        <v>43</v>
      </c>
      <c r="D3" s="1" t="s">
        <v>42</v>
      </c>
      <c r="E3" s="1" t="s">
        <v>41</v>
      </c>
    </row>
    <row r="4" spans="1:8" ht="15.75" thickBot="1" x14ac:dyDescent="0.3">
      <c r="B4" s="2">
        <v>8</v>
      </c>
      <c r="C4" s="2">
        <v>2</v>
      </c>
      <c r="D4" s="2">
        <v>3</v>
      </c>
      <c r="E4" s="2">
        <v>2</v>
      </c>
      <c r="G4" t="s">
        <v>37</v>
      </c>
      <c r="H4" t="s">
        <v>38</v>
      </c>
    </row>
    <row r="5" spans="1:8" ht="15.75" thickBot="1" x14ac:dyDescent="0.3">
      <c r="B5" s="2">
        <v>9</v>
      </c>
      <c r="C5" s="2">
        <v>4</v>
      </c>
      <c r="D5" s="2">
        <v>5</v>
      </c>
      <c r="E5" s="2">
        <v>2</v>
      </c>
      <c r="G5" t="s">
        <v>39</v>
      </c>
      <c r="H5" t="s">
        <v>40</v>
      </c>
    </row>
    <row r="6" spans="1:8" ht="15.75" thickBot="1" x14ac:dyDescent="0.3">
      <c r="B6" s="2">
        <v>6</v>
      </c>
      <c r="C6" s="2">
        <v>3</v>
      </c>
      <c r="D6" s="2">
        <v>4</v>
      </c>
      <c r="E6" s="2">
        <v>-1</v>
      </c>
    </row>
    <row r="7" spans="1:8" ht="15.75" thickBot="1" x14ac:dyDescent="0.3">
      <c r="B7" s="2">
        <v>7</v>
      </c>
      <c r="C7" s="2">
        <v>5</v>
      </c>
      <c r="D7" s="2">
        <v>2</v>
      </c>
      <c r="E7" s="2">
        <v>0</v>
      </c>
    </row>
    <row r="8" spans="1:8" ht="15.75" thickBot="1" x14ac:dyDescent="0.3">
      <c r="B8" s="2">
        <v>3</v>
      </c>
      <c r="C8" s="2">
        <v>1</v>
      </c>
      <c r="D8" s="2">
        <v>3</v>
      </c>
      <c r="E8" s="2">
        <v>3</v>
      </c>
    </row>
    <row r="9" spans="1:8" x14ac:dyDescent="0.25">
      <c r="G9" t="s">
        <v>5</v>
      </c>
    </row>
    <row r="10" spans="1:8" x14ac:dyDescent="0.25">
      <c r="A10" s="3" t="s">
        <v>4</v>
      </c>
      <c r="B10" s="3">
        <f>AVERAGE(B4:B8)</f>
        <v>6.6</v>
      </c>
      <c r="C10" s="3">
        <f>AVERAGE(C4:C8)</f>
        <v>3</v>
      </c>
      <c r="D10" s="3">
        <f>AVERAGE(D4:D8)</f>
        <v>3.4</v>
      </c>
      <c r="E10" s="3">
        <f>AVERAGE(E4:E8)</f>
        <v>1.2</v>
      </c>
      <c r="G10" s="3">
        <f>AVERAGE(B4:E8)</f>
        <v>3.55</v>
      </c>
      <c r="H10" s="3">
        <v>3.6</v>
      </c>
    </row>
    <row r="11" spans="1:8" x14ac:dyDescent="0.25">
      <c r="A11" s="3" t="s">
        <v>6</v>
      </c>
      <c r="B11" s="3">
        <v>5</v>
      </c>
      <c r="C11" s="3">
        <v>5</v>
      </c>
      <c r="D11" s="3">
        <v>5</v>
      </c>
      <c r="E11" s="3">
        <v>5</v>
      </c>
      <c r="G11" s="3">
        <v>20</v>
      </c>
      <c r="H11" s="3">
        <v>20</v>
      </c>
    </row>
    <row r="14" spans="1:8" x14ac:dyDescent="0.25">
      <c r="A14" s="3" t="s">
        <v>7</v>
      </c>
      <c r="B14"/>
    </row>
    <row r="17" spans="1:8" x14ac:dyDescent="0.25">
      <c r="C17"/>
    </row>
    <row r="19" spans="1:8" x14ac:dyDescent="0.25">
      <c r="D19"/>
    </row>
    <row r="22" spans="1:8" x14ac:dyDescent="0.25">
      <c r="A22" s="3" t="s">
        <v>8</v>
      </c>
      <c r="B22"/>
    </row>
    <row r="25" spans="1:8" ht="15.75" thickBot="1" x14ac:dyDescent="0.3"/>
    <row r="26" spans="1:8" ht="15.75" thickBot="1" x14ac:dyDescent="0.3">
      <c r="B26" s="4" t="s">
        <v>44</v>
      </c>
      <c r="C26" s="4" t="s">
        <v>9</v>
      </c>
      <c r="D26" s="4" t="s">
        <v>10</v>
      </c>
      <c r="F26" s="4" t="s">
        <v>43</v>
      </c>
      <c r="G26" s="4" t="s">
        <v>12</v>
      </c>
      <c r="H26" s="4" t="s">
        <v>13</v>
      </c>
    </row>
    <row r="27" spans="1:8" ht="15.75" thickBot="1" x14ac:dyDescent="0.3">
      <c r="B27" s="2">
        <v>8</v>
      </c>
      <c r="C27" s="2">
        <v>1.4</v>
      </c>
      <c r="D27" s="2">
        <v>2</v>
      </c>
      <c r="F27" s="2">
        <v>2</v>
      </c>
      <c r="G27" s="2">
        <v>-1</v>
      </c>
      <c r="H27" s="2">
        <v>1</v>
      </c>
    </row>
    <row r="28" spans="1:8" ht="15.75" thickBot="1" x14ac:dyDescent="0.3">
      <c r="B28" s="2">
        <v>9</v>
      </c>
      <c r="C28" s="2">
        <v>2.4</v>
      </c>
      <c r="D28" s="2">
        <v>5.8</v>
      </c>
      <c r="F28" s="2">
        <v>4</v>
      </c>
      <c r="G28" s="2">
        <v>1</v>
      </c>
      <c r="H28" s="2">
        <v>1</v>
      </c>
    </row>
    <row r="29" spans="1:8" ht="15.75" thickBot="1" x14ac:dyDescent="0.3">
      <c r="B29" s="2">
        <v>6</v>
      </c>
      <c r="C29" s="2">
        <v>-0.6</v>
      </c>
      <c r="D29" s="2">
        <v>0.4</v>
      </c>
      <c r="F29" s="2">
        <v>3</v>
      </c>
      <c r="G29" s="2">
        <v>0</v>
      </c>
      <c r="H29" s="2">
        <v>0</v>
      </c>
    </row>
    <row r="30" spans="1:8" ht="15.75" thickBot="1" x14ac:dyDescent="0.3">
      <c r="B30" s="2">
        <v>7</v>
      </c>
      <c r="C30" s="2">
        <v>0.4</v>
      </c>
      <c r="D30" s="2">
        <v>0.2</v>
      </c>
      <c r="F30" s="2">
        <v>5</v>
      </c>
      <c r="G30" s="2">
        <v>2</v>
      </c>
      <c r="H30" s="2">
        <v>4</v>
      </c>
    </row>
    <row r="31" spans="1:8" ht="15.75" thickBot="1" x14ac:dyDescent="0.3">
      <c r="B31" s="2">
        <v>3</v>
      </c>
      <c r="C31" s="2">
        <v>-3.6</v>
      </c>
      <c r="D31" s="2">
        <v>13</v>
      </c>
      <c r="F31" s="2">
        <v>1</v>
      </c>
      <c r="G31" s="2">
        <v>-2</v>
      </c>
      <c r="H31" s="2">
        <v>4</v>
      </c>
    </row>
    <row r="32" spans="1:8" ht="15.75" thickBot="1" x14ac:dyDescent="0.3">
      <c r="B32" s="5" t="s">
        <v>11</v>
      </c>
      <c r="C32" s="2">
        <v>0</v>
      </c>
      <c r="D32" s="2">
        <v>21.4</v>
      </c>
      <c r="F32" s="5" t="s">
        <v>11</v>
      </c>
      <c r="G32" s="2">
        <v>0</v>
      </c>
      <c r="H32" s="2">
        <v>10</v>
      </c>
    </row>
    <row r="34" spans="2:8" ht="15.75" thickBot="1" x14ac:dyDescent="0.3"/>
    <row r="35" spans="2:8" ht="15.75" thickBot="1" x14ac:dyDescent="0.3">
      <c r="B35" s="4" t="s">
        <v>45</v>
      </c>
      <c r="C35" s="4" t="s">
        <v>14</v>
      </c>
      <c r="D35" s="4" t="s">
        <v>15</v>
      </c>
      <c r="F35" s="1" t="s">
        <v>41</v>
      </c>
      <c r="G35" s="4" t="s">
        <v>16</v>
      </c>
      <c r="H35" s="4" t="s">
        <v>17</v>
      </c>
    </row>
    <row r="36" spans="2:8" ht="15.75" thickBot="1" x14ac:dyDescent="0.3">
      <c r="B36" s="2">
        <v>3</v>
      </c>
      <c r="C36" s="2">
        <v>-0.4</v>
      </c>
      <c r="D36" s="2">
        <v>0.2</v>
      </c>
      <c r="F36" s="2">
        <v>2</v>
      </c>
      <c r="G36" s="2">
        <v>0.8</v>
      </c>
      <c r="H36" s="2">
        <v>0.6</v>
      </c>
    </row>
    <row r="37" spans="2:8" ht="15.75" thickBot="1" x14ac:dyDescent="0.3">
      <c r="B37" s="2">
        <v>5</v>
      </c>
      <c r="C37" s="2">
        <v>1.6</v>
      </c>
      <c r="D37" s="2">
        <v>2.6</v>
      </c>
      <c r="F37" s="2">
        <v>2</v>
      </c>
      <c r="G37" s="2">
        <v>0.8</v>
      </c>
      <c r="H37" s="2">
        <v>0.6</v>
      </c>
    </row>
    <row r="38" spans="2:8" ht="15.75" thickBot="1" x14ac:dyDescent="0.3">
      <c r="B38" s="2">
        <v>4</v>
      </c>
      <c r="C38" s="2">
        <v>0.6</v>
      </c>
      <c r="D38" s="2">
        <v>0.4</v>
      </c>
      <c r="F38" s="2">
        <v>-1</v>
      </c>
      <c r="G38" s="2">
        <v>-2.2000000000000002</v>
      </c>
      <c r="H38" s="2">
        <v>4.8</v>
      </c>
    </row>
    <row r="39" spans="2:8" ht="15.75" thickBot="1" x14ac:dyDescent="0.3">
      <c r="B39" s="2">
        <v>2</v>
      </c>
      <c r="C39" s="2">
        <v>-1.4</v>
      </c>
      <c r="D39" s="2">
        <v>2</v>
      </c>
      <c r="F39" s="2">
        <v>0</v>
      </c>
      <c r="G39" s="2">
        <v>-1.2</v>
      </c>
      <c r="H39" s="2">
        <v>1.4</v>
      </c>
    </row>
    <row r="40" spans="2:8" ht="15.75" thickBot="1" x14ac:dyDescent="0.3">
      <c r="B40" s="2">
        <v>3</v>
      </c>
      <c r="C40" s="2">
        <v>-0.4</v>
      </c>
      <c r="D40" s="2">
        <v>0.2</v>
      </c>
      <c r="F40" s="2">
        <v>3</v>
      </c>
      <c r="G40" s="2">
        <v>1.8</v>
      </c>
      <c r="H40" s="2">
        <v>3.2</v>
      </c>
    </row>
    <row r="41" spans="2:8" ht="15.75" thickBot="1" x14ac:dyDescent="0.3">
      <c r="B41" s="5" t="s">
        <v>11</v>
      </c>
      <c r="C41" s="2">
        <v>0</v>
      </c>
      <c r="D41" s="2">
        <v>5.4</v>
      </c>
      <c r="F41" s="5" t="s">
        <v>11</v>
      </c>
      <c r="G41" s="2">
        <v>0</v>
      </c>
      <c r="H41" s="2">
        <v>10.6</v>
      </c>
    </row>
    <row r="44" spans="2:8" x14ac:dyDescent="0.25">
      <c r="D44"/>
    </row>
    <row r="48" spans="2:8" ht="15.75" thickBot="1" x14ac:dyDescent="0.3"/>
    <row r="49" spans="2:9" ht="25.5" x14ac:dyDescent="0.25">
      <c r="B49" s="12" t="s">
        <v>33</v>
      </c>
      <c r="C49" s="6" t="s">
        <v>18</v>
      </c>
      <c r="D49" s="6" t="s">
        <v>20</v>
      </c>
      <c r="E49" s="6" t="s">
        <v>22</v>
      </c>
      <c r="F49" s="12" t="s">
        <v>24</v>
      </c>
    </row>
    <row r="50" spans="2:9" x14ac:dyDescent="0.25">
      <c r="B50" s="13"/>
      <c r="C50" s="7"/>
      <c r="D50" s="7"/>
      <c r="E50" s="7"/>
      <c r="F50" s="13"/>
    </row>
    <row r="51" spans="2:9" ht="15.75" thickBot="1" x14ac:dyDescent="0.3">
      <c r="B51" s="14"/>
      <c r="C51" s="8" t="s">
        <v>19</v>
      </c>
      <c r="D51" s="8" t="s">
        <v>21</v>
      </c>
      <c r="E51" s="8" t="s">
        <v>23</v>
      </c>
      <c r="F51" s="14"/>
    </row>
    <row r="52" spans="2:9" ht="26.25" thickBot="1" x14ac:dyDescent="0.3">
      <c r="B52" s="1" t="s">
        <v>25</v>
      </c>
      <c r="C52" s="2">
        <v>75.8</v>
      </c>
      <c r="D52" s="2" t="s">
        <v>26</v>
      </c>
      <c r="E52" s="2" t="s">
        <v>27</v>
      </c>
      <c r="F52" s="2" t="s">
        <v>28</v>
      </c>
    </row>
    <row r="53" spans="2:9" ht="26.25" thickBot="1" x14ac:dyDescent="0.3">
      <c r="B53" s="1" t="s">
        <v>29</v>
      </c>
      <c r="C53" s="2">
        <v>47.4</v>
      </c>
      <c r="D53" s="2" t="s">
        <v>30</v>
      </c>
      <c r="E53" s="2" t="s">
        <v>31</v>
      </c>
    </row>
    <row r="54" spans="2:9" ht="15.75" thickBot="1" x14ac:dyDescent="0.3">
      <c r="B54" s="1" t="s">
        <v>32</v>
      </c>
      <c r="C54" s="2"/>
      <c r="D54" s="2"/>
    </row>
    <row r="57" spans="2:9" x14ac:dyDescent="0.25">
      <c r="H57" t="s">
        <v>46</v>
      </c>
      <c r="I57">
        <v>3.29</v>
      </c>
    </row>
    <row r="59" spans="2:9" x14ac:dyDescent="0.25">
      <c r="H59" t="s">
        <v>47</v>
      </c>
    </row>
    <row r="60" spans="2:9" x14ac:dyDescent="0.25">
      <c r="C60"/>
    </row>
    <row r="72" spans="1:7" x14ac:dyDescent="0.25">
      <c r="A72" s="15" t="s">
        <v>36</v>
      </c>
      <c r="B72" s="15"/>
      <c r="C72" s="15"/>
      <c r="D72" s="15"/>
      <c r="E72" s="15"/>
      <c r="F72" s="15"/>
      <c r="G72" s="15"/>
    </row>
  </sheetData>
  <mergeCells count="3">
    <mergeCell ref="B49:B51"/>
    <mergeCell ref="F49:F51"/>
    <mergeCell ref="A72:G7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43801-49FD-4793-9B62-6F6366B99B12}">
  <dimension ref="A1:I36"/>
  <sheetViews>
    <sheetView zoomScale="145" zoomScaleNormal="145" workbookViewId="0">
      <selection activeCell="C11" sqref="C11"/>
    </sheetView>
  </sheetViews>
  <sheetFormatPr defaultRowHeight="15" x14ac:dyDescent="0.25"/>
  <cols>
    <col min="2" max="5" width="8.85546875" style="3"/>
    <col min="6" max="6" width="27.140625" style="3" customWidth="1"/>
    <col min="7" max="7" width="8.85546875" style="3"/>
  </cols>
  <sheetData>
    <row r="1" spans="2:5" ht="39" thickBot="1" x14ac:dyDescent="0.3">
      <c r="B1" s="1" t="s">
        <v>0</v>
      </c>
      <c r="C1" s="1" t="s">
        <v>1</v>
      </c>
      <c r="D1" s="1" t="s">
        <v>2</v>
      </c>
      <c r="E1" s="1" t="s">
        <v>3</v>
      </c>
    </row>
    <row r="2" spans="2:5" ht="15.75" thickBot="1" x14ac:dyDescent="0.3">
      <c r="B2" s="2">
        <v>8</v>
      </c>
      <c r="C2" s="2">
        <v>8</v>
      </c>
      <c r="D2" s="2">
        <v>3</v>
      </c>
      <c r="E2" s="2">
        <v>1</v>
      </c>
    </row>
    <row r="3" spans="2:5" ht="15.75" thickBot="1" x14ac:dyDescent="0.3">
      <c r="B3" s="2">
        <v>2</v>
      </c>
      <c r="C3" s="2">
        <v>6</v>
      </c>
      <c r="D3" s="2">
        <v>8</v>
      </c>
      <c r="E3" s="2">
        <v>2</v>
      </c>
    </row>
    <row r="4" spans="2:5" ht="15.75" thickBot="1" x14ac:dyDescent="0.3">
      <c r="B4" s="2">
        <v>6</v>
      </c>
      <c r="C4" s="2">
        <v>3</v>
      </c>
      <c r="D4" s="2">
        <v>4</v>
      </c>
      <c r="E4" s="2">
        <v>6</v>
      </c>
    </row>
    <row r="5" spans="2:5" ht="15.75" thickBot="1" x14ac:dyDescent="0.3">
      <c r="B5" s="2">
        <v>7</v>
      </c>
      <c r="C5" s="2">
        <v>5</v>
      </c>
      <c r="D5" s="2">
        <v>1</v>
      </c>
      <c r="E5" s="2">
        <v>1</v>
      </c>
    </row>
    <row r="6" spans="2:5" ht="15.75" thickBot="1" x14ac:dyDescent="0.3">
      <c r="B6" s="2">
        <v>1</v>
      </c>
      <c r="C6" s="2">
        <v>1</v>
      </c>
      <c r="D6" s="2">
        <v>3</v>
      </c>
      <c r="E6" s="2">
        <v>3</v>
      </c>
    </row>
    <row r="17" spans="2:9" ht="15.75" thickBot="1" x14ac:dyDescent="0.3"/>
    <row r="18" spans="2:9" ht="15.75" thickBot="1" x14ac:dyDescent="0.3">
      <c r="B18" s="1"/>
      <c r="G18" s="1"/>
      <c r="H18" s="3"/>
      <c r="I18" s="3"/>
    </row>
    <row r="19" spans="2:9" ht="15.75" thickBot="1" x14ac:dyDescent="0.3">
      <c r="B19" s="2"/>
      <c r="G19" s="2"/>
      <c r="H19" s="3"/>
      <c r="I19" s="3"/>
    </row>
    <row r="20" spans="2:9" ht="15.75" thickBot="1" x14ac:dyDescent="0.3">
      <c r="B20" s="2"/>
      <c r="G20" s="2"/>
      <c r="H20" s="3"/>
      <c r="I20" s="3"/>
    </row>
    <row r="21" spans="2:9" ht="15.75" thickBot="1" x14ac:dyDescent="0.3">
      <c r="B21" s="2"/>
      <c r="G21" s="2"/>
      <c r="H21" s="3"/>
      <c r="I21" s="3"/>
    </row>
    <row r="22" spans="2:9" ht="15.75" thickBot="1" x14ac:dyDescent="0.3">
      <c r="B22" s="2"/>
      <c r="G22" s="2"/>
      <c r="H22" s="3"/>
      <c r="I22" s="3"/>
    </row>
    <row r="23" spans="2:9" ht="15.75" thickBot="1" x14ac:dyDescent="0.3">
      <c r="B23" s="2"/>
      <c r="G23" s="2"/>
      <c r="H23" s="3"/>
      <c r="I23" s="3"/>
    </row>
    <row r="24" spans="2:9" x14ac:dyDescent="0.25">
      <c r="H24" s="3"/>
      <c r="I24" s="3"/>
    </row>
    <row r="26" spans="2:9" ht="15.75" thickBot="1" x14ac:dyDescent="0.3"/>
    <row r="27" spans="2:9" ht="15.75" thickBot="1" x14ac:dyDescent="0.3">
      <c r="B27" s="1"/>
      <c r="G27" s="1"/>
      <c r="H27" s="3"/>
      <c r="I27" s="3"/>
    </row>
    <row r="28" spans="2:9" ht="15.75" thickBot="1" x14ac:dyDescent="0.3">
      <c r="B28" s="2"/>
      <c r="G28" s="2"/>
      <c r="H28" s="3"/>
      <c r="I28" s="3"/>
    </row>
    <row r="29" spans="2:9" ht="15.75" thickBot="1" x14ac:dyDescent="0.3">
      <c r="B29" s="2"/>
      <c r="G29" s="2"/>
      <c r="H29" s="3"/>
      <c r="I29" s="3"/>
    </row>
    <row r="30" spans="2:9" ht="15.75" thickBot="1" x14ac:dyDescent="0.3">
      <c r="B30" s="2"/>
      <c r="G30" s="2"/>
      <c r="H30" s="3"/>
      <c r="I30" s="3"/>
    </row>
    <row r="31" spans="2:9" ht="15.75" thickBot="1" x14ac:dyDescent="0.3">
      <c r="B31" s="2"/>
      <c r="G31" s="2"/>
      <c r="H31" s="3"/>
      <c r="I31" s="3"/>
    </row>
    <row r="32" spans="2:9" ht="15.75" thickBot="1" x14ac:dyDescent="0.3">
      <c r="B32" s="2"/>
      <c r="G32" s="2"/>
      <c r="H32" s="3"/>
      <c r="I32" s="3"/>
    </row>
    <row r="33" spans="1:9" x14ac:dyDescent="0.25">
      <c r="H33" s="3"/>
      <c r="I33" s="3"/>
    </row>
    <row r="36" spans="1:9" x14ac:dyDescent="0.25">
      <c r="A36"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FDE00-E285-4EEF-AD58-567A1F6F4D79}">
  <dimension ref="A1:T26"/>
  <sheetViews>
    <sheetView tabSelected="1" workbookViewId="0">
      <selection activeCell="D28" sqref="D28"/>
    </sheetView>
  </sheetViews>
  <sheetFormatPr defaultRowHeight="15" x14ac:dyDescent="0.25"/>
  <cols>
    <col min="1" max="1" width="11.5703125" style="16" customWidth="1"/>
    <col min="2" max="2" width="21.42578125" style="16" bestFit="1" customWidth="1"/>
    <col min="3" max="3" width="16.140625" style="16" bestFit="1" customWidth="1"/>
    <col min="4" max="5" width="11.5703125" style="16" customWidth="1"/>
    <col min="6" max="6" width="9.140625" style="16"/>
    <col min="7" max="7" width="9.85546875" style="16" bestFit="1" customWidth="1"/>
    <col min="8" max="8" width="10" style="16" bestFit="1" customWidth="1"/>
    <col min="9" max="10" width="9.140625" style="16"/>
    <col min="11" max="11" width="9.85546875" style="16" bestFit="1" customWidth="1"/>
    <col min="12" max="14" width="9.140625" style="16"/>
    <col min="15" max="15" width="14.85546875" style="16" bestFit="1" customWidth="1"/>
    <col min="16" max="16" width="16.85546875" style="16" bestFit="1" customWidth="1"/>
    <col min="17" max="17" width="9.140625" style="16"/>
    <col min="18" max="18" width="9.7109375" style="16" bestFit="1" customWidth="1"/>
    <col min="19" max="19" width="14.85546875" style="16" bestFit="1" customWidth="1"/>
    <col min="20" max="20" width="16.85546875" style="16" bestFit="1" customWidth="1"/>
    <col min="21" max="16384" width="9.140625" style="16"/>
  </cols>
  <sheetData>
    <row r="1" spans="1:20" customFormat="1" x14ac:dyDescent="0.25">
      <c r="A1" t="s">
        <v>97</v>
      </c>
    </row>
    <row r="2" spans="1:20" customFormat="1" ht="15.75" thickBot="1" x14ac:dyDescent="0.3"/>
    <row r="3" spans="1:20" ht="16.5" thickTop="1" thickBot="1" x14ac:dyDescent="0.3">
      <c r="A3" s="25" t="s">
        <v>92</v>
      </c>
      <c r="B3" s="17" t="s">
        <v>93</v>
      </c>
      <c r="C3" s="19" t="s">
        <v>94</v>
      </c>
      <c r="D3" s="21" t="s">
        <v>95</v>
      </c>
      <c r="E3" s="23" t="s">
        <v>96</v>
      </c>
      <c r="F3"/>
      <c r="G3"/>
      <c r="H3"/>
      <c r="I3"/>
      <c r="J3"/>
      <c r="K3"/>
      <c r="L3"/>
      <c r="M3"/>
      <c r="N3" s="18" t="s">
        <v>93</v>
      </c>
      <c r="O3" s="18" t="s">
        <v>107</v>
      </c>
      <c r="P3" s="18" t="s">
        <v>108</v>
      </c>
      <c r="R3" s="19" t="s">
        <v>94</v>
      </c>
      <c r="S3" s="20" t="s">
        <v>110</v>
      </c>
      <c r="T3" s="20" t="s">
        <v>111</v>
      </c>
    </row>
    <row r="4" spans="1:20" ht="16.5" thickTop="1" thickBot="1" x14ac:dyDescent="0.3">
      <c r="A4" s="25">
        <v>1</v>
      </c>
      <c r="B4" s="17">
        <v>85</v>
      </c>
      <c r="C4" s="19">
        <v>78</v>
      </c>
      <c r="D4" s="21">
        <v>90</v>
      </c>
      <c r="E4" s="23">
        <v>88</v>
      </c>
      <c r="F4"/>
      <c r="G4"/>
      <c r="H4"/>
      <c r="I4"/>
      <c r="J4"/>
      <c r="K4"/>
      <c r="L4"/>
      <c r="M4"/>
      <c r="N4" s="18">
        <v>85</v>
      </c>
      <c r="O4" s="18">
        <f>N4-B11</f>
        <v>-1.2000000000000028</v>
      </c>
      <c r="P4" s="18">
        <f>(N4-B11)^2</f>
        <v>1.4400000000000068</v>
      </c>
      <c r="R4" s="19">
        <v>78</v>
      </c>
      <c r="S4" s="20">
        <f>R4-C11</f>
        <v>-0.79999999999999716</v>
      </c>
      <c r="T4" s="20">
        <f>(R4-C11)^2</f>
        <v>0.63999999999999546</v>
      </c>
    </row>
    <row r="5" spans="1:20" ht="16.5" thickTop="1" thickBot="1" x14ac:dyDescent="0.3">
      <c r="A5" s="25">
        <v>2</v>
      </c>
      <c r="B5" s="17">
        <v>82</v>
      </c>
      <c r="C5" s="19">
        <v>75</v>
      </c>
      <c r="D5" s="21">
        <v>88</v>
      </c>
      <c r="E5" s="23">
        <v>85</v>
      </c>
      <c r="F5"/>
      <c r="G5"/>
      <c r="H5"/>
      <c r="I5"/>
      <c r="J5"/>
      <c r="K5"/>
      <c r="L5"/>
      <c r="M5"/>
      <c r="N5" s="18">
        <v>82</v>
      </c>
      <c r="O5" s="18">
        <f>N5-B11</f>
        <v>-4.2000000000000028</v>
      </c>
      <c r="P5" s="18">
        <f>(N5-B11)^2</f>
        <v>17.640000000000025</v>
      </c>
      <c r="R5" s="19">
        <v>75</v>
      </c>
      <c r="S5" s="20">
        <f>R5-C11</f>
        <v>-3.7999999999999972</v>
      </c>
      <c r="T5" s="20">
        <f>(R5-C11)^2</f>
        <v>14.439999999999978</v>
      </c>
    </row>
    <row r="6" spans="1:20" ht="16.5" thickTop="1" thickBot="1" x14ac:dyDescent="0.3">
      <c r="A6" s="25">
        <v>3</v>
      </c>
      <c r="B6" s="17">
        <v>88</v>
      </c>
      <c r="C6" s="19">
        <v>80</v>
      </c>
      <c r="D6" s="21">
        <v>92</v>
      </c>
      <c r="E6" s="23">
        <v>90</v>
      </c>
      <c r="F6"/>
      <c r="G6"/>
      <c r="H6"/>
      <c r="I6"/>
      <c r="J6"/>
      <c r="K6"/>
      <c r="L6"/>
      <c r="M6"/>
      <c r="N6" s="18">
        <v>88</v>
      </c>
      <c r="O6" s="18">
        <f>N6-B11</f>
        <v>1.7999999999999972</v>
      </c>
      <c r="P6" s="18">
        <f>(N6-B11)^2</f>
        <v>3.2399999999999896</v>
      </c>
      <c r="R6" s="19">
        <v>80</v>
      </c>
      <c r="S6" s="20">
        <f>R6-C11</f>
        <v>1.2000000000000028</v>
      </c>
      <c r="T6" s="20">
        <f>(R6-C11)^2</f>
        <v>1.4400000000000068</v>
      </c>
    </row>
    <row r="7" spans="1:20" ht="16.5" thickTop="1" thickBot="1" x14ac:dyDescent="0.3">
      <c r="A7" s="25">
        <v>4</v>
      </c>
      <c r="B7" s="17">
        <v>90</v>
      </c>
      <c r="C7" s="19">
        <v>82</v>
      </c>
      <c r="D7" s="21">
        <v>89</v>
      </c>
      <c r="E7" s="23">
        <v>87</v>
      </c>
      <c r="F7"/>
      <c r="G7"/>
      <c r="H7"/>
      <c r="I7"/>
      <c r="J7"/>
      <c r="K7"/>
      <c r="L7"/>
      <c r="M7"/>
      <c r="N7" s="18">
        <v>90</v>
      </c>
      <c r="O7" s="18">
        <f>N7-B11</f>
        <v>3.7999999999999972</v>
      </c>
      <c r="P7" s="18">
        <f>(N7-B11)^2</f>
        <v>14.439999999999978</v>
      </c>
      <c r="R7" s="19">
        <v>82</v>
      </c>
      <c r="S7" s="20">
        <f>R7-C11</f>
        <v>3.2000000000000028</v>
      </c>
      <c r="T7" s="20">
        <f>(R7-C11)^2</f>
        <v>10.240000000000018</v>
      </c>
    </row>
    <row r="8" spans="1:20" ht="16.5" thickTop="1" thickBot="1" x14ac:dyDescent="0.3">
      <c r="A8" s="25">
        <v>5</v>
      </c>
      <c r="B8" s="17">
        <v>86</v>
      </c>
      <c r="C8" s="19">
        <v>79</v>
      </c>
      <c r="D8" s="21">
        <v>91</v>
      </c>
      <c r="E8" s="23">
        <v>89</v>
      </c>
      <c r="F8"/>
      <c r="G8"/>
      <c r="H8"/>
      <c r="I8"/>
      <c r="J8"/>
      <c r="K8"/>
      <c r="L8"/>
      <c r="M8"/>
      <c r="N8" s="18">
        <v>86</v>
      </c>
      <c r="O8" s="18">
        <f>N8-B11</f>
        <v>-0.20000000000000284</v>
      </c>
      <c r="P8" s="18">
        <f>(N8-B11)^2</f>
        <v>4.0000000000001139E-2</v>
      </c>
      <c r="R8" s="19">
        <v>79</v>
      </c>
      <c r="S8" s="20">
        <f>R8-C11</f>
        <v>0.20000000000000284</v>
      </c>
      <c r="T8" s="20">
        <f>(R8-C11)^2</f>
        <v>4.0000000000001139E-2</v>
      </c>
    </row>
    <row r="9" spans="1:20" ht="15.75" thickTop="1" x14ac:dyDescent="0.25">
      <c r="A9"/>
      <c r="B9"/>
      <c r="C9"/>
      <c r="D9"/>
      <c r="E9"/>
      <c r="F9"/>
      <c r="G9"/>
      <c r="H9"/>
      <c r="I9"/>
      <c r="J9"/>
      <c r="K9"/>
      <c r="L9"/>
      <c r="M9"/>
      <c r="N9" s="18" t="s">
        <v>32</v>
      </c>
      <c r="O9" s="18" t="s">
        <v>109</v>
      </c>
      <c r="P9" s="18">
        <f>SUM(O4:P8)</f>
        <v>36.799999999999983</v>
      </c>
      <c r="R9" s="20" t="s">
        <v>32</v>
      </c>
      <c r="S9" s="20" t="s">
        <v>109</v>
      </c>
      <c r="T9" s="20">
        <f>SUM(S4:T8)</f>
        <v>26.800000000000015</v>
      </c>
    </row>
    <row r="10" spans="1:20" x14ac:dyDescent="0.25">
      <c r="A10" s="24"/>
      <c r="B10" s="24" t="s">
        <v>98</v>
      </c>
      <c r="C10" s="24" t="s">
        <v>99</v>
      </c>
      <c r="D10" s="24" t="s">
        <v>100</v>
      </c>
      <c r="E10" s="24" t="s">
        <v>101</v>
      </c>
      <c r="G10" s="24"/>
      <c r="H10" s="24" t="s">
        <v>103</v>
      </c>
      <c r="I10" s="24" t="s">
        <v>105</v>
      </c>
    </row>
    <row r="11" spans="1:20" x14ac:dyDescent="0.25">
      <c r="A11" s="24" t="s">
        <v>102</v>
      </c>
      <c r="B11" s="24">
        <f>AVERAGE(B4:B8)</f>
        <v>86.2</v>
      </c>
      <c r="C11" s="24">
        <f>AVERAGE(C4:C8)</f>
        <v>78.8</v>
      </c>
      <c r="D11" s="24">
        <f>AVERAGE(D4:D8)</f>
        <v>90</v>
      </c>
      <c r="E11" s="24">
        <f>AVERAGE(E4:E8)</f>
        <v>87.8</v>
      </c>
      <c r="G11" s="24"/>
      <c r="H11" s="24">
        <f>AVERAGE(B4:E8)</f>
        <v>85.7</v>
      </c>
      <c r="I11" s="24">
        <v>86</v>
      </c>
    </row>
    <row r="12" spans="1:20" x14ac:dyDescent="0.25">
      <c r="A12" s="24" t="s">
        <v>6</v>
      </c>
      <c r="B12" s="24">
        <f>COUNT(B4:B8)</f>
        <v>5</v>
      </c>
      <c r="C12" s="24">
        <f>COUNT(C4:C8)</f>
        <v>5</v>
      </c>
      <c r="D12" s="24">
        <f>COUNT(D4:D8)</f>
        <v>5</v>
      </c>
      <c r="E12" s="24">
        <f>COUNT(E4:E8)</f>
        <v>5</v>
      </c>
      <c r="G12" s="24" t="s">
        <v>104</v>
      </c>
      <c r="H12" s="24">
        <f>COUNT(B4:E8)</f>
        <v>20</v>
      </c>
      <c r="I12" s="24"/>
      <c r="N12" s="21" t="s">
        <v>95</v>
      </c>
      <c r="O12" s="22" t="s">
        <v>112</v>
      </c>
      <c r="P12" s="22" t="s">
        <v>113</v>
      </c>
      <c r="R12" s="26" t="s">
        <v>96</v>
      </c>
      <c r="S12" s="27" t="s">
        <v>107</v>
      </c>
      <c r="T12" s="27" t="s">
        <v>108</v>
      </c>
    </row>
    <row r="13" spans="1:20" x14ac:dyDescent="0.25">
      <c r="N13" s="21">
        <v>90</v>
      </c>
      <c r="O13" s="22">
        <f>N13-D11</f>
        <v>0</v>
      </c>
      <c r="P13" s="22">
        <f>(N13-D11)^2</f>
        <v>0</v>
      </c>
      <c r="R13" s="26">
        <v>88</v>
      </c>
      <c r="S13" s="27">
        <f>R13-E11</f>
        <v>0.20000000000000284</v>
      </c>
      <c r="T13" s="27">
        <f>(R13-E11)^2</f>
        <v>4.0000000000001139E-2</v>
      </c>
    </row>
    <row r="14" spans="1:20" x14ac:dyDescent="0.25">
      <c r="N14" s="21">
        <v>88</v>
      </c>
      <c r="O14" s="22">
        <f>N14-D11</f>
        <v>-2</v>
      </c>
      <c r="P14" s="22">
        <f>(N14-D11)^2</f>
        <v>4</v>
      </c>
      <c r="R14" s="26">
        <v>85</v>
      </c>
      <c r="S14" s="27">
        <f>R14-E11</f>
        <v>-2.7999999999999972</v>
      </c>
      <c r="T14" s="27">
        <f>(R14-E11)^2</f>
        <v>7.8399999999999839</v>
      </c>
    </row>
    <row r="15" spans="1:20" x14ac:dyDescent="0.25">
      <c r="B15" s="24" t="s">
        <v>106</v>
      </c>
      <c r="C15" s="24">
        <f>5*(B11-I11)^2+5*(C11-I11)^2+5*(D11-I11)^2+5*(E11-I11)^2</f>
        <v>355.60000000000014</v>
      </c>
      <c r="N15" s="21">
        <v>92</v>
      </c>
      <c r="O15" s="22">
        <f>N15-D11</f>
        <v>2</v>
      </c>
      <c r="P15" s="22">
        <f>(N15-D11)^2</f>
        <v>4</v>
      </c>
      <c r="R15" s="26">
        <v>90</v>
      </c>
      <c r="S15" s="27">
        <f>R15-E11</f>
        <v>2.2000000000000028</v>
      </c>
      <c r="T15" s="27">
        <f>(R15-E11)^2</f>
        <v>4.8400000000000123</v>
      </c>
    </row>
    <row r="16" spans="1:20" x14ac:dyDescent="0.25">
      <c r="B16" s="24" t="s">
        <v>114</v>
      </c>
      <c r="C16" s="24">
        <f>SUM(P9,T9,P18,T18)</f>
        <v>88.4</v>
      </c>
      <c r="N16" s="21">
        <v>89</v>
      </c>
      <c r="O16" s="22">
        <f>N16-D11</f>
        <v>-1</v>
      </c>
      <c r="P16" s="22">
        <f>(N16-D11)^2</f>
        <v>1</v>
      </c>
      <c r="R16" s="26">
        <v>87</v>
      </c>
      <c r="S16" s="27">
        <f>R16-E11</f>
        <v>-0.79999999999999716</v>
      </c>
      <c r="T16" s="27">
        <f>(R16-E11)^2</f>
        <v>0.63999999999999546</v>
      </c>
    </row>
    <row r="17" spans="2:20" x14ac:dyDescent="0.25">
      <c r="B17" s="24" t="s">
        <v>115</v>
      </c>
      <c r="C17" s="24" t="s">
        <v>118</v>
      </c>
      <c r="D17" s="24">
        <f>4-1</f>
        <v>3</v>
      </c>
      <c r="N17" s="21">
        <v>91</v>
      </c>
      <c r="O17" s="22">
        <f>N17-D11</f>
        <v>1</v>
      </c>
      <c r="P17" s="22">
        <f>(N17-D11)^2</f>
        <v>1</v>
      </c>
      <c r="R17" s="26">
        <v>89</v>
      </c>
      <c r="S17" s="27">
        <f>R17-E11</f>
        <v>1.2000000000000028</v>
      </c>
      <c r="T17" s="27">
        <f>(R17-E11)^2</f>
        <v>1.4400000000000068</v>
      </c>
    </row>
    <row r="18" spans="2:20" x14ac:dyDescent="0.25">
      <c r="B18" s="24" t="s">
        <v>116</v>
      </c>
      <c r="C18" s="24">
        <v>4</v>
      </c>
      <c r="N18" s="22" t="s">
        <v>32</v>
      </c>
      <c r="O18" s="22" t="s">
        <v>109</v>
      </c>
      <c r="P18" s="22">
        <f>SUM(O13:P17)</f>
        <v>10</v>
      </c>
      <c r="R18" s="27" t="s">
        <v>32</v>
      </c>
      <c r="S18" s="27" t="s">
        <v>109</v>
      </c>
      <c r="T18" s="27">
        <f>SUM(S13:T17)</f>
        <v>14.800000000000013</v>
      </c>
    </row>
    <row r="21" spans="2:20" x14ac:dyDescent="0.25">
      <c r="B21" s="24" t="s">
        <v>117</v>
      </c>
      <c r="C21" s="24">
        <f>C15/D17</f>
        <v>118.53333333333337</v>
      </c>
      <c r="D21" s="24">
        <f>C21/C22</f>
        <v>21.453996983408754</v>
      </c>
    </row>
    <row r="22" spans="2:20" x14ac:dyDescent="0.25">
      <c r="B22" s="24"/>
      <c r="C22" s="24">
        <f>C16/(H12-C18)</f>
        <v>5.5250000000000004</v>
      </c>
      <c r="D22" s="24"/>
    </row>
    <row r="26" spans="2:20" x14ac:dyDescent="0.25">
      <c r="B26" s="28" t="s">
        <v>119</v>
      </c>
      <c r="C26" s="28">
        <f>D21</f>
        <v>21.453996983408754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5AE0-3878-45E2-AA16-FECC12C710CF}">
  <dimension ref="A1:G16"/>
  <sheetViews>
    <sheetView workbookViewId="0">
      <selection activeCell="E13" sqref="E13"/>
    </sheetView>
  </sheetViews>
  <sheetFormatPr defaultRowHeight="15" x14ac:dyDescent="0.25"/>
  <sheetData>
    <row r="1" spans="1:7" x14ac:dyDescent="0.25">
      <c r="A1" t="s">
        <v>73</v>
      </c>
    </row>
    <row r="3" spans="1:7" ht="15.75" thickBot="1" x14ac:dyDescent="0.3">
      <c r="A3" t="s">
        <v>74</v>
      </c>
    </row>
    <row r="4" spans="1:7" x14ac:dyDescent="0.25">
      <c r="A4" s="11" t="s">
        <v>75</v>
      </c>
      <c r="B4" s="11" t="s">
        <v>76</v>
      </c>
      <c r="C4" s="11" t="s">
        <v>77</v>
      </c>
      <c r="D4" s="11" t="s">
        <v>78</v>
      </c>
      <c r="E4" s="11" t="s">
        <v>79</v>
      </c>
    </row>
    <row r="5" spans="1:7" x14ac:dyDescent="0.25">
      <c r="A5" t="s">
        <v>80</v>
      </c>
      <c r="B5">
        <v>5</v>
      </c>
      <c r="C5">
        <v>24</v>
      </c>
      <c r="D5">
        <v>4.8</v>
      </c>
      <c r="E5">
        <v>9.6999999999999993</v>
      </c>
    </row>
    <row r="6" spans="1:7" x14ac:dyDescent="0.25">
      <c r="A6" t="s">
        <v>81</v>
      </c>
      <c r="B6">
        <v>5</v>
      </c>
      <c r="C6">
        <v>23</v>
      </c>
      <c r="D6">
        <v>4.5999999999999996</v>
      </c>
      <c r="E6">
        <v>7.3000000000000007</v>
      </c>
    </row>
    <row r="7" spans="1:7" x14ac:dyDescent="0.25">
      <c r="A7" t="s">
        <v>82</v>
      </c>
      <c r="B7">
        <v>5</v>
      </c>
      <c r="C7">
        <v>19</v>
      </c>
      <c r="D7">
        <v>3.8</v>
      </c>
      <c r="E7">
        <v>6.6999999999999993</v>
      </c>
    </row>
    <row r="8" spans="1:7" ht="15.75" thickBot="1" x14ac:dyDescent="0.3">
      <c r="A8" s="10" t="s">
        <v>83</v>
      </c>
      <c r="B8" s="10">
        <v>5</v>
      </c>
      <c r="C8" s="10">
        <v>13</v>
      </c>
      <c r="D8" s="10">
        <v>2.6</v>
      </c>
      <c r="E8" s="10">
        <v>4.3000000000000007</v>
      </c>
    </row>
    <row r="11" spans="1:7" ht="15.75" thickBot="1" x14ac:dyDescent="0.3">
      <c r="A11" t="s">
        <v>84</v>
      </c>
    </row>
    <row r="12" spans="1:7" x14ac:dyDescent="0.25">
      <c r="A12" s="11" t="s">
        <v>33</v>
      </c>
      <c r="B12" s="11" t="s">
        <v>85</v>
      </c>
      <c r="C12" s="11" t="s">
        <v>86</v>
      </c>
      <c r="D12" s="11" t="s">
        <v>87</v>
      </c>
      <c r="E12" s="11" t="s">
        <v>24</v>
      </c>
      <c r="F12" s="11" t="s">
        <v>88</v>
      </c>
      <c r="G12" s="11" t="s">
        <v>89</v>
      </c>
    </row>
    <row r="13" spans="1:7" x14ac:dyDescent="0.25">
      <c r="A13" t="s">
        <v>90</v>
      </c>
      <c r="B13">
        <v>14.950000000000017</v>
      </c>
      <c r="C13">
        <v>3</v>
      </c>
      <c r="D13">
        <v>4.9833333333333387</v>
      </c>
      <c r="E13">
        <v>0.71190476190476271</v>
      </c>
      <c r="F13">
        <v>0.55900055200504972</v>
      </c>
      <c r="G13">
        <v>3.2388715174535854</v>
      </c>
    </row>
    <row r="14" spans="1:7" x14ac:dyDescent="0.25">
      <c r="A14" t="s">
        <v>91</v>
      </c>
      <c r="B14">
        <v>112</v>
      </c>
      <c r="C14">
        <v>16</v>
      </c>
      <c r="D14">
        <v>7</v>
      </c>
    </row>
    <row r="16" spans="1:7" ht="15.75" thickBot="1" x14ac:dyDescent="0.3">
      <c r="A16" s="10" t="s">
        <v>32</v>
      </c>
      <c r="B16" s="10">
        <v>126.95000000000002</v>
      </c>
      <c r="C16" s="10">
        <v>19</v>
      </c>
      <c r="D16" s="10"/>
      <c r="E16" s="10"/>
      <c r="F16" s="10"/>
      <c r="G16"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3525D-2D87-4512-8180-0E20E6E5FAAA}">
  <dimension ref="A1:A36"/>
  <sheetViews>
    <sheetView topLeftCell="A19" zoomScale="175" zoomScaleNormal="175" workbookViewId="0">
      <selection activeCell="F17" sqref="F17"/>
    </sheetView>
  </sheetViews>
  <sheetFormatPr defaultRowHeight="15" x14ac:dyDescent="0.25"/>
  <sheetData>
    <row r="1" spans="1:1" x14ac:dyDescent="0.25">
      <c r="A1" t="s">
        <v>48</v>
      </c>
    </row>
    <row r="3" spans="1:1" x14ac:dyDescent="0.25">
      <c r="A3" t="s">
        <v>49</v>
      </c>
    </row>
    <row r="4" spans="1:1" x14ac:dyDescent="0.25">
      <c r="A4" t="s">
        <v>50</v>
      </c>
    </row>
    <row r="5" spans="1:1" x14ac:dyDescent="0.25">
      <c r="A5" t="s">
        <v>51</v>
      </c>
    </row>
    <row r="6" spans="1:1" x14ac:dyDescent="0.25">
      <c r="A6" t="s">
        <v>52</v>
      </c>
    </row>
    <row r="8" spans="1:1" x14ac:dyDescent="0.25">
      <c r="A8" t="s">
        <v>53</v>
      </c>
    </row>
    <row r="9" spans="1:1" x14ac:dyDescent="0.25">
      <c r="A9" t="s">
        <v>54</v>
      </c>
    </row>
    <row r="10" spans="1:1" x14ac:dyDescent="0.25">
      <c r="A10" t="s">
        <v>55</v>
      </c>
    </row>
    <row r="11" spans="1:1" x14ac:dyDescent="0.25">
      <c r="A11" t="s">
        <v>56</v>
      </c>
    </row>
    <row r="13" spans="1:1" x14ac:dyDescent="0.25">
      <c r="A13" t="s">
        <v>57</v>
      </c>
    </row>
    <row r="14" spans="1:1" x14ac:dyDescent="0.25">
      <c r="A14" t="e">
        <f>- Within-Group Sum of Squares (SSW) measures the variability Within each group.</f>
        <v>#NAME?</v>
      </c>
    </row>
    <row r="15" spans="1:1" x14ac:dyDescent="0.25">
      <c r="A15" t="s">
        <v>58</v>
      </c>
    </row>
    <row r="16" spans="1:1" x14ac:dyDescent="0.25">
      <c r="A16" t="s">
        <v>59</v>
      </c>
    </row>
    <row r="17" spans="1:1" x14ac:dyDescent="0.25">
      <c r="A17" t="e">
        <f>- Between-Group Sum of Squares (SSB) measures the variability Between different groups.</f>
        <v>#NAME?</v>
      </c>
    </row>
    <row r="18" spans="1:1" x14ac:dyDescent="0.25">
      <c r="A18" t="s">
        <v>60</v>
      </c>
    </row>
    <row r="20" spans="1:1" x14ac:dyDescent="0.25">
      <c r="A20" t="s">
        <v>61</v>
      </c>
    </row>
    <row r="21" spans="1:1" x14ac:dyDescent="0.25">
      <c r="A21" t="s">
        <v>62</v>
      </c>
    </row>
    <row r="22" spans="1:1" x14ac:dyDescent="0.25">
      <c r="A22" t="s">
        <v>63</v>
      </c>
    </row>
    <row r="24" spans="1:1" x14ac:dyDescent="0.25">
      <c r="A24" t="s">
        <v>64</v>
      </c>
    </row>
    <row r="25" spans="1:1" x14ac:dyDescent="0.25">
      <c r="A25" t="s">
        <v>65</v>
      </c>
    </row>
    <row r="26" spans="1:1" x14ac:dyDescent="0.25">
      <c r="A26" t="s">
        <v>66</v>
      </c>
    </row>
    <row r="28" spans="1:1" x14ac:dyDescent="0.25">
      <c r="A28" t="s">
        <v>67</v>
      </c>
    </row>
    <row r="29" spans="1:1" x14ac:dyDescent="0.25">
      <c r="A29" t="s">
        <v>68</v>
      </c>
    </row>
    <row r="31" spans="1:1" x14ac:dyDescent="0.25">
      <c r="A31" t="s">
        <v>69</v>
      </c>
    </row>
    <row r="32" spans="1:1" x14ac:dyDescent="0.25">
      <c r="A32" t="s">
        <v>70</v>
      </c>
    </row>
    <row r="34" spans="1:1" x14ac:dyDescent="0.25">
      <c r="A34" t="s">
        <v>71</v>
      </c>
    </row>
    <row r="36" spans="1:1" x14ac:dyDescent="0.25">
      <c r="A3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ANOVA Example</vt:lpstr>
      <vt:lpstr>Sheet3 Practice</vt:lpstr>
      <vt:lpstr>Example to Slove</vt:lpstr>
      <vt:lpstr>Short Cut Tool</vt:lpstr>
      <vt:lpstr>Finalcial Domain Example Exampl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Atharva Pawar</cp:lastModifiedBy>
  <dcterms:created xsi:type="dcterms:W3CDTF">2015-06-05T18:17:20Z</dcterms:created>
  <dcterms:modified xsi:type="dcterms:W3CDTF">2026-06-10T15:32:42Z</dcterms:modified>
</cp:coreProperties>
</file>